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eceitas" sheetId="2" r:id="rId5"/>
    <sheet state="visible" name="Despesas" sheetId="3" r:id="rId6"/>
    <sheet state="visible" name="Impostos" sheetId="4" r:id="rId7"/>
    <sheet state="visible" name="Profissionais" sheetId="5" r:id="rId8"/>
    <sheet state="visible" name="Resumo Mensal" sheetId="6" r:id="rId9"/>
  </sheets>
  <definedNames/>
  <calcPr/>
  <extLst>
    <ext uri="GoogleSheetsCustomDataVersion2">
      <go:sheetsCustomData xmlns:go="http://customooxmlschemas.google.com/" r:id="rId10" roundtripDataChecksum="T6I/JVRdBb9xWrc0qA5aBZtkYleaAxCelLQ910ljuP8="/>
    </ext>
  </extLst>
</workbook>
</file>

<file path=xl/sharedStrings.xml><?xml version="1.0" encoding="utf-8"?>
<sst xmlns="http://schemas.openxmlformats.org/spreadsheetml/2006/main" count="164" uniqueCount="82">
  <si>
    <t>CLÍNICA PERSONART - CONTROLE FINANCEIRO 2026</t>
  </si>
  <si>
    <t>Resumo Executivo - Balanço Mensal</t>
  </si>
  <si>
    <t>MÊS</t>
  </si>
  <si>
    <t>RECEITAS</t>
  </si>
  <si>
    <t>DESPESAS</t>
  </si>
  <si>
    <t>IMPOSTOS</t>
  </si>
  <si>
    <t>RESULTADO LÍQUIDO</t>
  </si>
  <si>
    <t>MARGEM (%)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</si>
  <si>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</si>
  <si>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</si>
  <si>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</si>
  <si>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</si>
  <si>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</si>
  <si>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</si>
  <si>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</si>
  <si>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</si>
  <si>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</si>
  <si>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</si>
  <si>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</si>
  <si>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</si>
  <si>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ANUAL</t>
  </si>
  <si>
    <t>RECEITAS - 2026</t>
  </si>
  <si>
    <t>DESCRIÇÃO</t>
  </si>
  <si>
    <t>TOTAL</t>
  </si>
  <si>
    <t>Aluguel - Simone</t>
  </si>
  <si>
    <t>Aluguel - Adriele</t>
  </si>
  <si>
    <t>Aluguel - Giovana</t>
  </si>
  <si>
    <t>Aluguel - Geovanna</t>
  </si>
  <si>
    <t>Funserv</t>
  </si>
  <si>
    <t>Fussex</t>
  </si>
  <si>
    <t>Danamed</t>
  </si>
  <si>
    <t>Gama</t>
  </si>
  <si>
    <t>Bruno</t>
  </si>
  <si>
    <t>Janaina</t>
  </si>
  <si>
    <t>Soraia</t>
  </si>
  <si>
    <t>Stephanie</t>
  </si>
  <si>
    <t>TOTAL DE RECEITAS</t>
  </si>
  <si>
    <t>DESPESAS - 2026</t>
  </si>
  <si>
    <t>DESPESAS FIXAS</t>
  </si>
  <si>
    <t xml:space="preserve">Aluguel </t>
  </si>
  <si>
    <t>Agua ( SAAE)</t>
  </si>
  <si>
    <t>Energia ( CPFL)</t>
  </si>
  <si>
    <t>Internet</t>
  </si>
  <si>
    <t>Contabilidade</t>
  </si>
  <si>
    <t>Ar Condicionado/Climatização</t>
  </si>
  <si>
    <t>CRP jurídico</t>
  </si>
  <si>
    <t>Certificado Digital</t>
  </si>
  <si>
    <t>Impressora</t>
  </si>
  <si>
    <t>Compra insumos p/ clinica</t>
  </si>
  <si>
    <t>Propaganda / Marketing</t>
  </si>
  <si>
    <t>Caixa para Manutenção/ Clinica</t>
  </si>
  <si>
    <t>SUBTOTAL FIXAS</t>
  </si>
  <si>
    <t>DESPESAS VARIÁVEIS</t>
  </si>
  <si>
    <t>Ar condicionado</t>
  </si>
  <si>
    <t>Instalação do Ar</t>
  </si>
  <si>
    <t>Compra Impressora</t>
  </si>
  <si>
    <t>CRP / Clinica</t>
  </si>
  <si>
    <t>Limpeza do jardim</t>
  </si>
  <si>
    <t>SUBTOTAL VARIÁVEIS</t>
  </si>
  <si>
    <t>TOTAL DE DESPESAS</t>
  </si>
  <si>
    <t>IMPOSTOS E CONTRIBUIÇÕES - 2026</t>
  </si>
  <si>
    <t>ISS (Imposto Sobre Serviços)</t>
  </si>
  <si>
    <t>DAS (Microempreendedor)</t>
  </si>
  <si>
    <t>DARF (Imposto de Renda)</t>
  </si>
  <si>
    <t>IRPJ (Imposto de Renda PJ)</t>
  </si>
  <si>
    <t>CSLL (Contribuição Social)</t>
  </si>
  <si>
    <t>TOTAL DE IMPOSTOS</t>
  </si>
  <si>
    <t>PAGAMENTOS A PROFISSIONAIS E ALUGUEL - 2026</t>
  </si>
  <si>
    <t>PROFISSIONAL / DESCRIÇÃO</t>
  </si>
  <si>
    <t xml:space="preserve">Simone - </t>
  </si>
  <si>
    <t>Adriele -</t>
  </si>
  <si>
    <t>Geovanna</t>
  </si>
  <si>
    <t>Giovana</t>
  </si>
  <si>
    <t>Maria</t>
  </si>
  <si>
    <t>TOTAL DE PAGAMENTOS</t>
  </si>
  <si>
    <t>Previsão de pagamento</t>
  </si>
  <si>
    <t>BALANÇO MENSAL - 2026</t>
  </si>
  <si>
    <t>RECEITAS TOTAIS</t>
  </si>
  <si>
    <t>DESPESAS TOTAIS</t>
  </si>
  <si>
    <t>IMPOSTOS TOTAIS</t>
  </si>
  <si>
    <t>PAGAMENTOS A PROFISSIONAIS</t>
  </si>
  <si>
    <t>MARGEM DE LUCRO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</si>
</sst>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rgb="FF2F5233"/>
      <name val="Calibri"/>
      <scheme val="minor"/>
    </font>
    <font>
      <b/>
      <sz val="12.0"/>
      <color rgb="FFFFFFFF"/>
      <name val="Calibri"/>
      <scheme val="minor"/>
    </font>
    <font>
      <b/>
      <sz val="10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b/>
      <i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F5233"/>
        <bgColor rgb="FF2F5233"/>
      </patternFill>
    </fill>
    <fill>
      <patternFill patternType="solid">
        <fgColor rgb="FFE8E8E8"/>
        <bgColor rgb="FFE8E8E8"/>
      </patternFill>
    </fill>
    <fill>
      <patternFill patternType="solid">
        <fgColor rgb="FFC9DAF8"/>
        <bgColor rgb="FFC9DAF8"/>
      </patternFill>
    </fill>
    <fill>
      <patternFill patternType="solid">
        <fgColor rgb="FFA8D5BA"/>
        <bgColor rgb="FFA8D5BA"/>
      </patternFill>
    </fill>
    <fill>
      <patternFill patternType="solid">
        <fgColor rgb="FFF0F0F0"/>
        <bgColor rgb="FFF0F0F0"/>
      </patternFill>
    </fill>
    <fill>
      <patternFill patternType="solid">
        <fgColor rgb="FFCFE2F3"/>
        <bgColor rgb="FFCFE2F3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ont="1">
      <alignment horizontal="center" vertical="center"/>
    </xf>
    <xf borderId="4" fillId="0" fontId="5" numFmtId="0" xfId="0" applyBorder="1" applyFont="1"/>
    <xf borderId="4" fillId="0" fontId="6" numFmtId="4" xfId="0" applyAlignment="1" applyBorder="1" applyFont="1" applyNumberFormat="1">
      <alignment horizontal="right"/>
    </xf>
    <xf borderId="0" fillId="0" fontId="7" numFmtId="4" xfId="0" applyFont="1" applyNumberFormat="1"/>
    <xf borderId="0" fillId="0" fontId="7" numFmtId="0" xfId="0" applyFont="1"/>
    <xf borderId="5" fillId="3" fontId="8" numFmtId="0" xfId="0" applyBorder="1" applyFill="1" applyFont="1"/>
    <xf borderId="4" fillId="3" fontId="8" numFmtId="4" xfId="0" applyAlignment="1" applyBorder="1" applyFont="1" applyNumberFormat="1">
      <alignment horizontal="right"/>
    </xf>
    <xf borderId="4" fillId="0" fontId="9" numFmtId="0" xfId="0" applyBorder="1" applyFont="1"/>
    <xf borderId="4" fillId="0" fontId="6" numFmtId="4" xfId="0" applyAlignment="1" applyBorder="1" applyFont="1" applyNumberFormat="1">
      <alignment horizontal="right" readingOrder="0"/>
    </xf>
    <xf borderId="4" fillId="0" fontId="9" numFmtId="0" xfId="0" applyAlignment="1" applyBorder="1" applyFont="1">
      <alignment readingOrder="0"/>
    </xf>
    <xf borderId="4" fillId="4" fontId="6" numFmtId="4" xfId="0" applyAlignment="1" applyBorder="1" applyFill="1" applyFont="1" applyNumberFormat="1">
      <alignment horizontal="right" readingOrder="0"/>
    </xf>
    <xf borderId="4" fillId="3" fontId="8" numFmtId="0" xfId="0" applyBorder="1" applyFont="1"/>
    <xf borderId="1" fillId="5" fontId="3" numFmtId="0" xfId="0" applyBorder="1" applyFill="1" applyFont="1"/>
    <xf borderId="4" fillId="0" fontId="6" numFmtId="0" xfId="0" applyAlignment="1" applyBorder="1" applyFont="1">
      <alignment readingOrder="0"/>
    </xf>
    <xf borderId="4" fillId="0" fontId="6" numFmtId="0" xfId="0" applyBorder="1" applyFont="1"/>
    <xf borderId="4" fillId="6" fontId="10" numFmtId="0" xfId="0" applyBorder="1" applyFill="1" applyFont="1"/>
    <xf borderId="4" fillId="6" fontId="10" numFmtId="4" xfId="0" applyAlignment="1" applyBorder="1" applyFont="1" applyNumberFormat="1">
      <alignment horizontal="right"/>
    </xf>
    <xf borderId="4" fillId="0" fontId="7" numFmtId="0" xfId="0" applyBorder="1" applyFont="1"/>
    <xf borderId="6" fillId="5" fontId="3" numFmtId="0" xfId="0" applyBorder="1" applyFont="1"/>
    <xf borderId="7" fillId="0" fontId="2" numFmtId="0" xfId="0" applyBorder="1" applyFont="1"/>
    <xf borderId="8" fillId="0" fontId="2" numFmtId="0" xfId="0" applyBorder="1" applyFont="1"/>
    <xf borderId="5" fillId="6" fontId="10" numFmtId="0" xfId="0" applyBorder="1" applyFont="1"/>
    <xf borderId="0" fillId="7" fontId="7" numFmtId="0" xfId="0" applyAlignment="1" applyFill="1" applyFont="1">
      <alignment readingOrder="0"/>
    </xf>
    <xf borderId="4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6" width="16.0"/>
    <col customWidth="1" min="7" max="26" width="8.71"/>
  </cols>
  <sheetData>
    <row r="1" ht="24.75" customHeight="1">
      <c r="A1" s="1" t="s">
        <v>0</v>
      </c>
      <c r="B1" s="2"/>
      <c r="C1" s="2"/>
      <c r="D1" s="2"/>
      <c r="E1" s="2"/>
      <c r="F1" s="3"/>
    </row>
    <row r="3">
      <c r="A3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>
      <c r="A5" s="6" t="s">
        <v>8</v>
      </c>
      <c r="B5" s="7">
        <f>'Resumo Mensal'!B4</f>
        <v>440</v>
      </c>
      <c r="C5" s="7">
        <f>'Resumo Mensal'!C4</f>
        <v>590</v>
      </c>
      <c r="D5" s="7">
        <f>'Resumo Mensal'!D4</f>
        <v>0</v>
      </c>
      <c r="E5" s="7">
        <f>'Resumo Mensal'!E4</f>
        <v>0</v>
      </c>
      <c r="F5" s="7">
        <f>'Resumo Mensal'!F4</f>
        <v>0</v>
      </c>
      <c r="G5" s="8">
        <f>'Resumo Mensal'!G4</f>
        <v>0</v>
      </c>
      <c r="H5" s="8">
        <f>'Resumo Mensal'!H4</f>
        <v>0</v>
      </c>
      <c r="I5" s="8">
        <f>'Resumo Mensal'!I4</f>
        <v>0</v>
      </c>
      <c r="J5" s="8">
        <f>'Resumo Mensal'!J4</f>
        <v>0</v>
      </c>
      <c r="K5" s="8">
        <f>'Resumo Mensal'!K4</f>
        <v>0</v>
      </c>
      <c r="L5" s="8">
        <f>'Resumo Mensal'!L4</f>
        <v>0</v>
      </c>
      <c r="M5" s="8">
        <f>'Resumo Mensal'!M4</f>
        <v>1030</v>
      </c>
    </row>
    <row r="6">
      <c r="A6" s="6" t="s">
        <v>9</v>
      </c>
      <c r="B6" s="7" t="str">
        <f>'Resumo Mensal'!B5</f>
        <v/>
      </c>
      <c r="C6" s="7" t="str">
        <f>'Resumo Mensal'!C5</f>
        <v/>
      </c>
      <c r="D6" s="7" t="str">
        <f>'Resumo Mensal'!D5</f>
        <v/>
      </c>
      <c r="E6" s="7" t="str">
        <f>'Resumo Mensal'!E5</f>
        <v/>
      </c>
      <c r="F6" s="7" t="str">
        <f>'Resumo Mensal'!F5</f>
        <v/>
      </c>
      <c r="G6" s="8" t="str">
        <f>'Resumo Mensal'!G5</f>
        <v/>
      </c>
      <c r="H6" s="8" t="str">
        <f>'Resumo Mensal'!H5</f>
        <v/>
      </c>
      <c r="I6" s="8" t="str">
        <f>'Resumo Mensal'!I5</f>
        <v/>
      </c>
      <c r="J6" s="8" t="str">
        <f>'Resumo Mensal'!J5</f>
        <v/>
      </c>
      <c r="K6" s="8" t="str">
        <f>'Resumo Mensal'!K5</f>
        <v/>
      </c>
      <c r="L6" s="8" t="str">
        <f>'Resumo Mensal'!L5</f>
        <v/>
      </c>
      <c r="M6" s="8">
        <f>'Resumo Mensal'!M5</f>
        <v>0</v>
      </c>
    </row>
    <row r="7">
      <c r="A7" s="6" t="s">
        <v>10</v>
      </c>
      <c r="B7" s="7">
        <f>'Resumo Mensal'!B6</f>
        <v>720.55</v>
      </c>
      <c r="C7" s="7">
        <f>'Resumo Mensal'!C6</f>
        <v>0</v>
      </c>
      <c r="D7" s="7">
        <f>'Resumo Mensal'!D6</f>
        <v>0</v>
      </c>
      <c r="E7" s="7">
        <f>'Resumo Mensal'!E6</f>
        <v>0</v>
      </c>
      <c r="F7" s="7">
        <f>'Resumo Mensal'!F6</f>
        <v>0</v>
      </c>
      <c r="G7" s="8">
        <f>'Resumo Mensal'!G6</f>
        <v>0</v>
      </c>
      <c r="H7" s="8">
        <f>'Resumo Mensal'!H6</f>
        <v>0</v>
      </c>
      <c r="I7" s="8">
        <f>'Resumo Mensal'!I6</f>
        <v>0</v>
      </c>
      <c r="J7" s="8">
        <f>'Resumo Mensal'!J6</f>
        <v>0</v>
      </c>
      <c r="K7" s="8">
        <f>'Resumo Mensal'!K6</f>
        <v>0</v>
      </c>
      <c r="L7" s="8">
        <f>'Resumo Mensal'!L6</f>
        <v>0</v>
      </c>
      <c r="M7" s="8">
        <f>'Resumo Mensal'!M6</f>
        <v>720.55</v>
      </c>
    </row>
    <row r="8">
      <c r="A8" s="6" t="s">
        <v>11</v>
      </c>
      <c r="B8" s="7">
        <f t="shared" ref="B8:M8" si="1">B5-B6-B7</f>
        <v>-280.55</v>
      </c>
      <c r="C8" s="7">
        <f t="shared" si="1"/>
        <v>590</v>
      </c>
      <c r="D8" s="7">
        <f t="shared" si="1"/>
        <v>0</v>
      </c>
      <c r="E8" s="7">
        <f t="shared" si="1"/>
        <v>0</v>
      </c>
      <c r="F8" s="7">
        <f t="shared" si="1"/>
        <v>0</v>
      </c>
      <c r="G8" s="8">
        <f t="shared" si="1"/>
        <v>0</v>
      </c>
      <c r="H8" s="8">
        <f t="shared" si="1"/>
        <v>0</v>
      </c>
      <c r="I8" s="8">
        <f t="shared" si="1"/>
        <v>0</v>
      </c>
      <c r="J8" s="8">
        <f t="shared" si="1"/>
        <v>0</v>
      </c>
      <c r="K8" s="8">
        <f t="shared" si="1"/>
        <v>0</v>
      </c>
      <c r="L8" s="8">
        <f t="shared" si="1"/>
        <v>0</v>
      </c>
      <c r="M8" s="8">
        <f t="shared" si="1"/>
        <v>309.45</v>
      </c>
    </row>
    <row r="9">
      <c r="A9" s="6" t="s">
        <v>12</v>
      </c>
      <c r="B9" s="7">
        <f t="shared" ref="B9:M9" si="2">IF(B5=0,0,(B8/B5)*100)</f>
        <v>-63.76136364</v>
      </c>
      <c r="C9" s="7">
        <f t="shared" si="2"/>
        <v>100</v>
      </c>
      <c r="D9" s="7">
        <f t="shared" si="2"/>
        <v>0</v>
      </c>
      <c r="E9" s="7">
        <f t="shared" si="2"/>
        <v>0</v>
      </c>
      <c r="F9" s="7">
        <f t="shared" si="2"/>
        <v>0</v>
      </c>
      <c r="G9" s="9">
        <f t="shared" si="2"/>
        <v>0</v>
      </c>
      <c r="H9" s="9">
        <f t="shared" si="2"/>
        <v>0</v>
      </c>
      <c r="I9" s="9">
        <f t="shared" si="2"/>
        <v>0</v>
      </c>
      <c r="J9" s="9">
        <f t="shared" si="2"/>
        <v>0</v>
      </c>
      <c r="K9" s="9">
        <f t="shared" si="2"/>
        <v>0</v>
      </c>
      <c r="L9" s="9">
        <f t="shared" si="2"/>
        <v>0</v>
      </c>
      <c r="M9" s="9">
        <f t="shared" si="2"/>
        <v>30.04368932</v>
      </c>
    </row>
    <row r="10">
      <c r="A10" s="6" t="s">
        <v>13</v>
      </c>
      <c r="B10" s="7"/>
      <c r="C10" s="7"/>
      <c r="D10" s="7"/>
      <c r="E10" s="7"/>
      <c r="F10" s="7"/>
    </row>
    <row r="11">
      <c r="A11" s="6" t="s">
        <v>14</v>
      </c>
      <c r="B11" s="7"/>
      <c r="C11" s="7"/>
      <c r="D11" s="7"/>
      <c r="E11" s="7"/>
      <c r="F11" s="7"/>
    </row>
    <row r="12">
      <c r="A12" s="6" t="s">
        <v>15</v>
      </c>
      <c r="B12" s="7"/>
      <c r="C12" s="7"/>
      <c r="D12" s="7"/>
      <c r="E12" s="7"/>
      <c r="F12" s="7"/>
    </row>
    <row r="13">
      <c r="A13" s="6" t="s">
        <v>16</v>
      </c>
      <c r="B13" s="7"/>
      <c r="C13" s="7"/>
      <c r="D13" s="7"/>
      <c r="E13" s="7"/>
      <c r="F13" s="7"/>
    </row>
    <row r="14">
      <c r="A14" s="6" t="s">
        <v>17</v>
      </c>
      <c r="B14" s="7"/>
      <c r="C14" s="7"/>
      <c r="D14" s="7"/>
      <c r="E14" s="7"/>
      <c r="F14" s="7"/>
    </row>
    <row r="15">
      <c r="A15" s="6" t="s">
        <v>18</v>
      </c>
      <c r="B15" s="7"/>
      <c r="C15" s="7"/>
      <c r="D15" s="7"/>
      <c r="E15" s="7"/>
      <c r="F15" s="7"/>
    </row>
    <row r="16">
      <c r="A16" s="6" t="s">
        <v>19</v>
      </c>
      <c r="B16" s="7"/>
      <c r="C16" s="7"/>
      <c r="D16" s="7"/>
      <c r="E16" s="7"/>
      <c r="F16" s="7"/>
    </row>
    <row r="17">
      <c r="A17" s="10" t="s">
        <v>20</v>
      </c>
      <c r="B17" s="11">
        <f t="shared" ref="B17:M17" si="3">SUM(B5:B9)</f>
        <v>816.2386364</v>
      </c>
      <c r="C17" s="11">
        <f t="shared" si="3"/>
        <v>1280</v>
      </c>
      <c r="D17" s="11">
        <f t="shared" si="3"/>
        <v>0</v>
      </c>
      <c r="E17" s="11">
        <f t="shared" si="3"/>
        <v>0</v>
      </c>
      <c r="F17" s="11">
        <f t="shared" si="3"/>
        <v>0</v>
      </c>
      <c r="G17" s="8">
        <f t="shared" si="3"/>
        <v>0</v>
      </c>
      <c r="H17" s="8">
        <f t="shared" si="3"/>
        <v>0</v>
      </c>
      <c r="I17" s="8">
        <f t="shared" si="3"/>
        <v>0</v>
      </c>
      <c r="J17" s="8">
        <f t="shared" si="3"/>
        <v>0</v>
      </c>
      <c r="K17" s="8">
        <f t="shared" si="3"/>
        <v>0</v>
      </c>
      <c r="L17" s="8">
        <f t="shared" si="3"/>
        <v>0</v>
      </c>
      <c r="M17" s="8">
        <f t="shared" si="3"/>
        <v>2090.043689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13" width="13.0"/>
    <col customWidth="1" min="14" max="26" width="8.71"/>
  </cols>
  <sheetData>
    <row r="1" ht="24.75" customHeight="1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5" t="s">
        <v>22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23</v>
      </c>
    </row>
    <row r="4">
      <c r="A4" s="12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>
      <c r="A5" s="12" t="s">
        <v>24</v>
      </c>
      <c r="B5" s="13">
        <v>220.0</v>
      </c>
      <c r="C5" s="13">
        <v>220.0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12" t="s">
        <v>25</v>
      </c>
      <c r="B6" s="13">
        <v>110.0</v>
      </c>
      <c r="C6" s="13">
        <v>110.0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>
      <c r="A7" s="12" t="s">
        <v>26</v>
      </c>
      <c r="B7" s="7"/>
      <c r="C7" s="13">
        <v>150.0</v>
      </c>
      <c r="D7" s="7"/>
      <c r="E7" s="7"/>
      <c r="F7" s="7"/>
      <c r="G7" s="7"/>
      <c r="H7" s="7"/>
      <c r="I7" s="7"/>
      <c r="J7" s="7"/>
      <c r="K7" s="7"/>
      <c r="L7" s="7"/>
      <c r="M7" s="7"/>
    </row>
    <row r="8">
      <c r="A8" s="14" t="s">
        <v>27</v>
      </c>
      <c r="B8" s="13">
        <v>110.0</v>
      </c>
      <c r="C8" s="13">
        <v>110.0</v>
      </c>
      <c r="D8" s="7"/>
      <c r="E8" s="7"/>
      <c r="F8" s="7"/>
      <c r="G8" s="7"/>
      <c r="H8" s="7"/>
      <c r="I8" s="7"/>
      <c r="J8" s="7"/>
      <c r="K8" s="7"/>
      <c r="L8" s="7"/>
      <c r="M8" s="7"/>
    </row>
    <row r="9">
      <c r="A9" s="14" t="s">
        <v>28</v>
      </c>
      <c r="B9" s="13">
        <v>7880.36</v>
      </c>
      <c r="C9" s="13"/>
      <c r="D9" s="7"/>
      <c r="E9" s="7"/>
      <c r="F9" s="7"/>
      <c r="G9" s="7"/>
      <c r="H9" s="7"/>
      <c r="I9" s="7"/>
      <c r="J9" s="7"/>
      <c r="K9" s="7"/>
      <c r="L9" s="7"/>
      <c r="M9" s="7"/>
    </row>
    <row r="10">
      <c r="A10" s="14" t="s">
        <v>29</v>
      </c>
      <c r="B10" s="13"/>
      <c r="C10" s="13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>
      <c r="A11" s="14" t="s">
        <v>30</v>
      </c>
      <c r="B11" s="15">
        <v>960.0</v>
      </c>
      <c r="C11" s="13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>
      <c r="A12" s="14" t="s">
        <v>31</v>
      </c>
      <c r="B12" s="13"/>
      <c r="C12" s="13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>
      <c r="A13" s="14" t="s">
        <v>32</v>
      </c>
      <c r="B13" s="13">
        <v>855.0</v>
      </c>
      <c r="C13" s="13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>
      <c r="A14" s="14" t="s">
        <v>33</v>
      </c>
      <c r="B14" s="13">
        <v>800.0</v>
      </c>
      <c r="C14" s="13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>
      <c r="A15" s="14" t="s">
        <v>34</v>
      </c>
      <c r="B15" s="13">
        <v>530.0</v>
      </c>
      <c r="C15" s="13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14" t="s">
        <v>35</v>
      </c>
      <c r="B16" s="13">
        <v>884.0</v>
      </c>
      <c r="C16" s="13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>
      <c r="A17" s="16" t="s">
        <v>36</v>
      </c>
      <c r="B17" s="11">
        <f t="shared" ref="B17:L17" si="1">SUM(B4:B8)</f>
        <v>440</v>
      </c>
      <c r="C17" s="11">
        <f t="shared" si="1"/>
        <v>590</v>
      </c>
      <c r="D17" s="11">
        <f t="shared" si="1"/>
        <v>0</v>
      </c>
      <c r="E17" s="11">
        <f t="shared" si="1"/>
        <v>0</v>
      </c>
      <c r="F17" s="11">
        <f t="shared" si="1"/>
        <v>0</v>
      </c>
      <c r="G17" s="11">
        <f t="shared" si="1"/>
        <v>0</v>
      </c>
      <c r="H17" s="11">
        <f t="shared" si="1"/>
        <v>0</v>
      </c>
      <c r="I17" s="11">
        <f t="shared" si="1"/>
        <v>0</v>
      </c>
      <c r="J17" s="11">
        <f t="shared" si="1"/>
        <v>0</v>
      </c>
      <c r="K17" s="11">
        <f t="shared" si="1"/>
        <v>0</v>
      </c>
      <c r="L17" s="11">
        <f t="shared" si="1"/>
        <v>0</v>
      </c>
      <c r="M17" s="11">
        <f>SUM(B17:L17)</f>
        <v>1030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13" width="13.0"/>
    <col customWidth="1" min="14" max="26" width="8.71"/>
  </cols>
  <sheetData>
    <row r="1" ht="24.75" customHeight="1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 ht="19.5" customHeight="1">
      <c r="A3" s="5" t="s">
        <v>22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23</v>
      </c>
    </row>
    <row r="4">
      <c r="A4" s="17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>
      <c r="A5" s="18" t="s">
        <v>39</v>
      </c>
      <c r="B5" s="13">
        <v>1600.0</v>
      </c>
      <c r="C5" s="13">
        <v>1600.0</v>
      </c>
      <c r="D5" s="13">
        <v>1600.0</v>
      </c>
      <c r="E5" s="13">
        <v>1600.0</v>
      </c>
      <c r="F5" s="13">
        <v>1600.0</v>
      </c>
      <c r="G5" s="13">
        <v>1600.0</v>
      </c>
      <c r="H5" s="13">
        <v>1600.0</v>
      </c>
      <c r="I5" s="13">
        <v>1600.0</v>
      </c>
      <c r="J5" s="13">
        <v>1600.0</v>
      </c>
      <c r="K5" s="13">
        <v>1600.0</v>
      </c>
      <c r="L5" s="13">
        <v>1600.0</v>
      </c>
      <c r="M5" s="13">
        <v>1600.0</v>
      </c>
    </row>
    <row r="6">
      <c r="A6" s="18" t="s">
        <v>40</v>
      </c>
      <c r="B6" s="13">
        <v>79.39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>
      <c r="A7" s="18" t="s">
        <v>41</v>
      </c>
      <c r="B7" s="13">
        <v>436.74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>
      <c r="A8" s="19" t="s">
        <v>42</v>
      </c>
      <c r="B8" s="13">
        <v>221.98</v>
      </c>
      <c r="C8" s="13">
        <v>111.0</v>
      </c>
      <c r="D8" s="13">
        <v>111.0</v>
      </c>
      <c r="E8" s="13">
        <v>111.0</v>
      </c>
      <c r="F8" s="13">
        <v>111.0</v>
      </c>
      <c r="G8" s="13">
        <v>111.0</v>
      </c>
      <c r="H8" s="13">
        <v>111.0</v>
      </c>
      <c r="I8" s="13">
        <v>111.0</v>
      </c>
      <c r="J8" s="13">
        <v>111.0</v>
      </c>
      <c r="K8" s="13">
        <v>111.0</v>
      </c>
      <c r="L8" s="13">
        <v>111.0</v>
      </c>
      <c r="M8" s="13">
        <v>111.0</v>
      </c>
    </row>
    <row r="9">
      <c r="A9" s="18" t="s">
        <v>43</v>
      </c>
      <c r="B9" s="13">
        <v>350.0</v>
      </c>
      <c r="C9" s="13">
        <v>350.0</v>
      </c>
      <c r="D9" s="13">
        <v>350.0</v>
      </c>
      <c r="E9" s="13">
        <v>350.0</v>
      </c>
      <c r="F9" s="13">
        <v>350.0</v>
      </c>
      <c r="G9" s="13">
        <v>350.0</v>
      </c>
      <c r="H9" s="13">
        <v>350.0</v>
      </c>
      <c r="I9" s="13">
        <v>350.0</v>
      </c>
      <c r="J9" s="13">
        <v>350.0</v>
      </c>
      <c r="K9" s="13">
        <v>350.0</v>
      </c>
      <c r="L9" s="13">
        <v>350.0</v>
      </c>
      <c r="M9" s="13">
        <v>350.0</v>
      </c>
    </row>
    <row r="10">
      <c r="A10" s="19" t="s">
        <v>44</v>
      </c>
      <c r="B10" s="13">
        <v>529.42</v>
      </c>
      <c r="C10" s="13">
        <v>549.42</v>
      </c>
      <c r="D10" s="13">
        <v>549.42</v>
      </c>
      <c r="E10" s="7"/>
      <c r="F10" s="7"/>
      <c r="G10" s="7"/>
      <c r="H10" s="7"/>
      <c r="I10" s="7"/>
      <c r="J10" s="7"/>
      <c r="K10" s="7"/>
      <c r="L10" s="7"/>
      <c r="M10" s="7"/>
    </row>
    <row r="11">
      <c r="A11" s="18" t="s">
        <v>45</v>
      </c>
      <c r="B11" s="13">
        <v>159.79</v>
      </c>
      <c r="C11" s="13">
        <v>159.79</v>
      </c>
      <c r="D11" s="13">
        <v>159.79</v>
      </c>
      <c r="E11" s="13">
        <v>159.79</v>
      </c>
      <c r="F11" s="13">
        <v>159.79</v>
      </c>
      <c r="G11" s="13">
        <v>159.79</v>
      </c>
      <c r="H11" s="7"/>
      <c r="I11" s="7"/>
      <c r="J11" s="7"/>
      <c r="K11" s="7"/>
      <c r="L11" s="7"/>
      <c r="M11" s="7"/>
    </row>
    <row r="12">
      <c r="A12" s="18" t="s">
        <v>46</v>
      </c>
      <c r="B12" s="13"/>
      <c r="C12" s="7"/>
      <c r="D12" s="7"/>
      <c r="E12" s="13">
        <v>150.0</v>
      </c>
      <c r="F12" s="13">
        <v>150.0</v>
      </c>
      <c r="G12" s="13">
        <v>150.0</v>
      </c>
      <c r="H12" s="7"/>
      <c r="I12" s="7"/>
      <c r="J12" s="7"/>
      <c r="K12" s="7"/>
      <c r="L12" s="7"/>
      <c r="M12" s="7"/>
    </row>
    <row r="13">
      <c r="A13" s="18" t="s">
        <v>47</v>
      </c>
      <c r="B13" s="13"/>
      <c r="C13" s="13">
        <v>149.67</v>
      </c>
      <c r="D13" s="13">
        <v>149.67</v>
      </c>
      <c r="E13" s="13">
        <v>149.67</v>
      </c>
      <c r="F13" s="13">
        <v>149.67</v>
      </c>
      <c r="G13" s="13">
        <v>149.67</v>
      </c>
      <c r="H13" s="13">
        <v>149.67</v>
      </c>
      <c r="I13" s="7"/>
      <c r="J13" s="7"/>
      <c r="K13" s="7"/>
      <c r="L13" s="7"/>
      <c r="M13" s="7"/>
    </row>
    <row r="14">
      <c r="A14" s="18" t="s">
        <v>48</v>
      </c>
      <c r="B14" s="13">
        <v>300.0</v>
      </c>
      <c r="C14" s="13"/>
      <c r="D14" s="13"/>
      <c r="E14" s="13"/>
      <c r="F14" s="13"/>
      <c r="G14" s="13"/>
      <c r="H14" s="13"/>
      <c r="I14" s="7"/>
      <c r="J14" s="7"/>
      <c r="K14" s="7"/>
      <c r="L14" s="7"/>
      <c r="M14" s="7"/>
    </row>
    <row r="15">
      <c r="A15" s="18" t="s">
        <v>49</v>
      </c>
      <c r="B15" s="13">
        <v>50.0</v>
      </c>
      <c r="C15" s="13"/>
      <c r="D15" s="13"/>
      <c r="E15" s="13"/>
      <c r="F15" s="13"/>
      <c r="G15" s="13"/>
      <c r="H15" s="13"/>
      <c r="I15" s="7"/>
      <c r="J15" s="7"/>
      <c r="K15" s="7"/>
      <c r="L15" s="7"/>
      <c r="M15" s="7"/>
    </row>
    <row r="16">
      <c r="A16" s="18" t="s">
        <v>50</v>
      </c>
      <c r="B16" s="13">
        <v>50.0</v>
      </c>
      <c r="C16" s="13"/>
      <c r="D16" s="13"/>
      <c r="E16" s="13"/>
      <c r="F16" s="13"/>
      <c r="G16" s="13"/>
      <c r="H16" s="13"/>
      <c r="I16" s="7"/>
      <c r="J16" s="7"/>
      <c r="K16" s="7"/>
      <c r="L16" s="7"/>
      <c r="M16" s="7"/>
    </row>
    <row r="17">
      <c r="A17" s="18"/>
      <c r="B17" s="13"/>
      <c r="C17" s="13"/>
      <c r="D17" s="13"/>
      <c r="E17" s="13"/>
      <c r="F17" s="13"/>
      <c r="G17" s="13"/>
      <c r="H17" s="13"/>
      <c r="I17" s="7"/>
      <c r="J17" s="7"/>
      <c r="K17" s="7"/>
      <c r="L17" s="7"/>
      <c r="M17" s="7"/>
    </row>
    <row r="18">
      <c r="A18" s="18"/>
      <c r="B18" s="13"/>
      <c r="C18" s="13"/>
      <c r="D18" s="13"/>
      <c r="E18" s="13"/>
      <c r="F18" s="13"/>
      <c r="G18" s="13"/>
      <c r="H18" s="13"/>
      <c r="I18" s="7"/>
      <c r="J18" s="7"/>
      <c r="K18" s="7"/>
      <c r="L18" s="7"/>
      <c r="M18" s="7"/>
    </row>
    <row r="19">
      <c r="A19" s="20" t="s">
        <v>51</v>
      </c>
      <c r="B19" s="21">
        <f t="shared" ref="B19:C19" si="1">SUM(B5:B13)</f>
        <v>3377.32</v>
      </c>
      <c r="C19" s="21">
        <f t="shared" si="1"/>
        <v>2919.88</v>
      </c>
      <c r="D19" s="21">
        <f t="shared" ref="D19:M19" si="2">SUM(D5:D12)</f>
        <v>2770.21</v>
      </c>
      <c r="E19" s="21">
        <f t="shared" si="2"/>
        <v>2370.79</v>
      </c>
      <c r="F19" s="21">
        <f t="shared" si="2"/>
        <v>2370.79</v>
      </c>
      <c r="G19" s="21">
        <f t="shared" si="2"/>
        <v>2370.79</v>
      </c>
      <c r="H19" s="21">
        <f t="shared" si="2"/>
        <v>2061</v>
      </c>
      <c r="I19" s="21">
        <f t="shared" si="2"/>
        <v>2061</v>
      </c>
      <c r="J19" s="21">
        <f t="shared" si="2"/>
        <v>2061</v>
      </c>
      <c r="K19" s="21">
        <f t="shared" si="2"/>
        <v>2061</v>
      </c>
      <c r="L19" s="21">
        <f t="shared" si="2"/>
        <v>2061</v>
      </c>
      <c r="M19" s="21">
        <f t="shared" si="2"/>
        <v>2061</v>
      </c>
    </row>
    <row r="20">
      <c r="A20" s="22"/>
    </row>
    <row r="21">
      <c r="A21" s="23" t="s">
        <v>52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5"/>
    </row>
    <row r="22">
      <c r="A22" s="18" t="s">
        <v>53</v>
      </c>
      <c r="B22" s="13">
        <v>529.42</v>
      </c>
      <c r="C22" s="13">
        <v>549.42</v>
      </c>
      <c r="D22" s="13">
        <v>549.42</v>
      </c>
      <c r="E22" s="7"/>
      <c r="F22" s="7"/>
      <c r="G22" s="7"/>
      <c r="H22" s="7"/>
      <c r="I22" s="7"/>
      <c r="J22" s="7"/>
      <c r="K22" s="7"/>
      <c r="L22" s="7"/>
      <c r="M22" s="7"/>
    </row>
    <row r="23">
      <c r="A23" s="18" t="s">
        <v>54</v>
      </c>
      <c r="B23" s="13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18" t="s">
        <v>55</v>
      </c>
      <c r="B24" s="13"/>
      <c r="C24" s="13">
        <v>149.67</v>
      </c>
      <c r="D24" s="13">
        <v>149.67</v>
      </c>
      <c r="E24" s="13">
        <v>149.67</v>
      </c>
      <c r="F24" s="13">
        <v>149.67</v>
      </c>
      <c r="G24" s="13">
        <v>149.67</v>
      </c>
      <c r="H24" s="13">
        <v>149.67</v>
      </c>
      <c r="I24" s="7"/>
      <c r="J24" s="7"/>
      <c r="K24" s="7"/>
      <c r="L24" s="7"/>
      <c r="M24" s="7"/>
    </row>
    <row r="25">
      <c r="A25" s="18" t="s">
        <v>46</v>
      </c>
      <c r="B25" s="13"/>
      <c r="C25" s="7"/>
      <c r="D25" s="7"/>
      <c r="E25" s="13">
        <v>150.0</v>
      </c>
      <c r="F25" s="13">
        <v>150.0</v>
      </c>
      <c r="G25" s="13">
        <v>150.0</v>
      </c>
      <c r="H25" s="7"/>
      <c r="I25" s="7"/>
      <c r="J25" s="7"/>
      <c r="K25" s="7"/>
      <c r="L25" s="7"/>
      <c r="M25" s="7"/>
    </row>
    <row r="26">
      <c r="A26" s="18" t="s">
        <v>56</v>
      </c>
      <c r="B26" s="13">
        <v>159.79</v>
      </c>
      <c r="C26" s="13">
        <v>159.79</v>
      </c>
      <c r="D26" s="13">
        <v>159.79</v>
      </c>
      <c r="E26" s="13">
        <v>159.79</v>
      </c>
      <c r="F26" s="13">
        <v>159.79</v>
      </c>
      <c r="G26" s="13">
        <v>159.79</v>
      </c>
      <c r="H26" s="7"/>
      <c r="I26" s="7"/>
      <c r="J26" s="7"/>
      <c r="K26" s="7"/>
      <c r="L26" s="7"/>
      <c r="M26" s="7"/>
    </row>
    <row r="27">
      <c r="A27" s="19"/>
      <c r="B27" s="13"/>
      <c r="C27" s="7"/>
      <c r="D27" s="7"/>
      <c r="E27" s="7"/>
      <c r="F27" s="7"/>
      <c r="G27" s="7"/>
      <c r="H27" s="7"/>
      <c r="I27" s="7"/>
      <c r="J27" s="7"/>
      <c r="K27" s="7"/>
      <c r="L27" s="7"/>
      <c r="M27" s="7">
        <f>SUM(B27:L27)</f>
        <v>0</v>
      </c>
    </row>
    <row r="28" ht="15.75" customHeight="1">
      <c r="A28" s="18"/>
      <c r="B28" s="13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ht="15.75" customHeight="1">
      <c r="A29" s="18" t="s">
        <v>57</v>
      </c>
      <c r="B29" s="13">
        <v>70.0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ht="15.75" customHeight="1">
      <c r="A30" s="26" t="s">
        <v>58</v>
      </c>
      <c r="B30" s="21">
        <f t="shared" ref="B30:M30" si="3">SUM(B22:B29)</f>
        <v>759.21</v>
      </c>
      <c r="C30" s="21">
        <f t="shared" si="3"/>
        <v>858.88</v>
      </c>
      <c r="D30" s="21">
        <f t="shared" si="3"/>
        <v>858.88</v>
      </c>
      <c r="E30" s="21">
        <f t="shared" si="3"/>
        <v>459.46</v>
      </c>
      <c r="F30" s="21">
        <f t="shared" si="3"/>
        <v>459.46</v>
      </c>
      <c r="G30" s="21">
        <f t="shared" si="3"/>
        <v>459.46</v>
      </c>
      <c r="H30" s="21">
        <f t="shared" si="3"/>
        <v>149.67</v>
      </c>
      <c r="I30" s="21">
        <f t="shared" si="3"/>
        <v>0</v>
      </c>
      <c r="J30" s="21">
        <f t="shared" si="3"/>
        <v>0</v>
      </c>
      <c r="K30" s="21">
        <f t="shared" si="3"/>
        <v>0</v>
      </c>
      <c r="L30" s="21">
        <f t="shared" si="3"/>
        <v>0</v>
      </c>
      <c r="M30" s="21">
        <f t="shared" si="3"/>
        <v>0</v>
      </c>
    </row>
    <row r="31" ht="15.75" customHeight="1">
      <c r="A31" s="16" t="s">
        <v>59</v>
      </c>
      <c r="B31" s="11">
        <f t="shared" ref="B31:M31" si="4">B19+B30</f>
        <v>4136.53</v>
      </c>
      <c r="C31" s="11">
        <f t="shared" si="4"/>
        <v>3778.76</v>
      </c>
      <c r="D31" s="11">
        <f t="shared" si="4"/>
        <v>3629.09</v>
      </c>
      <c r="E31" s="11">
        <f t="shared" si="4"/>
        <v>2830.25</v>
      </c>
      <c r="F31" s="11">
        <f t="shared" si="4"/>
        <v>2830.25</v>
      </c>
      <c r="G31" s="11">
        <f t="shared" si="4"/>
        <v>2830.25</v>
      </c>
      <c r="H31" s="11">
        <f t="shared" si="4"/>
        <v>2210.67</v>
      </c>
      <c r="I31" s="11">
        <f t="shared" si="4"/>
        <v>2061</v>
      </c>
      <c r="J31" s="11">
        <f t="shared" si="4"/>
        <v>2061</v>
      </c>
      <c r="K31" s="11">
        <f t="shared" si="4"/>
        <v>2061</v>
      </c>
      <c r="L31" s="11">
        <f t="shared" si="4"/>
        <v>2061</v>
      </c>
      <c r="M31" s="11">
        <f t="shared" si="4"/>
        <v>2061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3">
    <mergeCell ref="A1:M1"/>
    <mergeCell ref="A4:M4"/>
    <mergeCell ref="A21:M2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13" width="13.0"/>
    <col customWidth="1" min="14" max="26" width="8.71"/>
  </cols>
  <sheetData>
    <row r="1" ht="24.75" customHeight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5" t="s">
        <v>22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23</v>
      </c>
    </row>
    <row r="4">
      <c r="A4" s="19" t="s">
        <v>61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>
      <c r="A5" s="19" t="s">
        <v>62</v>
      </c>
      <c r="B5" s="13">
        <v>415.76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19" t="s">
        <v>63</v>
      </c>
      <c r="B6" s="13">
        <v>304.79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>
      <c r="A7" s="19" t="s">
        <v>64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>
      <c r="A8" s="19" t="s">
        <v>65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>
      <c r="A9" s="16" t="s">
        <v>66</v>
      </c>
      <c r="B9" s="11">
        <f t="shared" ref="B9:L9" si="1">SUM(B4:B8)</f>
        <v>720.55</v>
      </c>
      <c r="C9" s="11">
        <f t="shared" si="1"/>
        <v>0</v>
      </c>
      <c r="D9" s="11">
        <f t="shared" si="1"/>
        <v>0</v>
      </c>
      <c r="E9" s="11">
        <f t="shared" si="1"/>
        <v>0</v>
      </c>
      <c r="F9" s="11">
        <f t="shared" si="1"/>
        <v>0</v>
      </c>
      <c r="G9" s="11">
        <f t="shared" si="1"/>
        <v>0</v>
      </c>
      <c r="H9" s="11">
        <f t="shared" si="1"/>
        <v>0</v>
      </c>
      <c r="I9" s="11">
        <f t="shared" si="1"/>
        <v>0</v>
      </c>
      <c r="J9" s="11">
        <f t="shared" si="1"/>
        <v>0</v>
      </c>
      <c r="K9" s="11">
        <f t="shared" si="1"/>
        <v>0</v>
      </c>
      <c r="L9" s="11">
        <f t="shared" si="1"/>
        <v>0</v>
      </c>
      <c r="M9" s="11">
        <f>SUM(B9:L9)</f>
        <v>720.55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13" width="13.0"/>
    <col customWidth="1" min="14" max="26" width="8.71"/>
  </cols>
  <sheetData>
    <row r="1" ht="24.75" customHeight="1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5" t="s">
        <v>68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23</v>
      </c>
    </row>
    <row r="4">
      <c r="A4" s="18" t="s">
        <v>69</v>
      </c>
      <c r="B4" s="13">
        <v>1293.47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>
      <c r="A5" s="18" t="s">
        <v>70</v>
      </c>
      <c r="B5" s="13">
        <v>922.0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18" t="s">
        <v>71</v>
      </c>
      <c r="B6" s="13">
        <v>1107.0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>
      <c r="A7" s="18" t="s">
        <v>72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>
      <c r="A8" s="18" t="s">
        <v>32</v>
      </c>
      <c r="B8" s="13">
        <v>1816.0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>
      <c r="A9" s="18" t="s">
        <v>35</v>
      </c>
      <c r="B9" s="13">
        <v>2878.64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>
      <c r="A10" s="18" t="s">
        <v>33</v>
      </c>
      <c r="B10" s="13">
        <v>1682.4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>
      <c r="A11" s="18" t="s">
        <v>73</v>
      </c>
      <c r="B11" s="13">
        <v>144.0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>
      <c r="A12" s="18" t="s">
        <v>34</v>
      </c>
      <c r="B12" s="13">
        <v>883.2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>
      <c r="A13" s="1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>
      <c r="A14" s="1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>
      <c r="A15" s="1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16" t="s">
        <v>74</v>
      </c>
      <c r="B16" s="11">
        <f t="shared" ref="B16:L16" si="1">SUM(B4:B12)</f>
        <v>10726.71</v>
      </c>
      <c r="C16" s="11">
        <f t="shared" si="1"/>
        <v>0</v>
      </c>
      <c r="D16" s="11">
        <f t="shared" si="1"/>
        <v>0</v>
      </c>
      <c r="E16" s="11">
        <f t="shared" si="1"/>
        <v>0</v>
      </c>
      <c r="F16" s="11">
        <f t="shared" si="1"/>
        <v>0</v>
      </c>
      <c r="G16" s="11">
        <f t="shared" si="1"/>
        <v>0</v>
      </c>
      <c r="H16" s="11">
        <f t="shared" si="1"/>
        <v>0</v>
      </c>
      <c r="I16" s="11">
        <f t="shared" si="1"/>
        <v>0</v>
      </c>
      <c r="J16" s="11">
        <f t="shared" si="1"/>
        <v>0</v>
      </c>
      <c r="K16" s="11">
        <f t="shared" si="1"/>
        <v>0</v>
      </c>
      <c r="L16" s="11">
        <f t="shared" si="1"/>
        <v>0</v>
      </c>
      <c r="M16" s="11">
        <f>SUM(B16:L16)</f>
        <v>10726.71</v>
      </c>
    </row>
    <row r="18">
      <c r="A18" s="27" t="s">
        <v>75</v>
      </c>
    </row>
    <row r="19">
      <c r="A19" s="18" t="s">
        <v>69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>
      <c r="A20" s="18" t="s">
        <v>70</v>
      </c>
      <c r="B20" s="28">
        <v>922.0</v>
      </c>
      <c r="C20" s="22"/>
      <c r="D20" s="22"/>
      <c r="E20" s="22"/>
      <c r="F20" s="22"/>
      <c r="G20" s="22"/>
      <c r="H20" s="22"/>
      <c r="I20" s="22"/>
      <c r="J20" s="22"/>
      <c r="K20" s="22"/>
    </row>
    <row r="21">
      <c r="A21" s="18" t="s">
        <v>71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>
      <c r="A22" s="18" t="s">
        <v>72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>
      <c r="A23" s="18" t="s">
        <v>32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>
      <c r="A24" s="18" t="s">
        <v>35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>
      <c r="A25" s="18" t="s">
        <v>33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>
      <c r="A26" s="18" t="s">
        <v>73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>
      <c r="A27" s="18" t="s">
        <v>34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13" width="13.0"/>
    <col customWidth="1" min="14" max="26" width="8.71"/>
  </cols>
  <sheetData>
    <row r="1" ht="24.75" customHeight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>
      <c r="A3" s="5" t="s">
        <v>22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23</v>
      </c>
    </row>
    <row r="4">
      <c r="A4" s="12" t="s">
        <v>77</v>
      </c>
      <c r="B4" s="7">
        <f>Receitas!B17</f>
        <v>440</v>
      </c>
      <c r="C4" s="7">
        <f>Receitas!C17</f>
        <v>590</v>
      </c>
      <c r="D4" s="7">
        <f>Receitas!D17</f>
        <v>0</v>
      </c>
      <c r="E4" s="7">
        <f>Receitas!E17</f>
        <v>0</v>
      </c>
      <c r="F4" s="7">
        <f>Receitas!F17</f>
        <v>0</v>
      </c>
      <c r="G4" s="7">
        <f>Receitas!G17</f>
        <v>0</v>
      </c>
      <c r="H4" s="7">
        <f>Receitas!H17</f>
        <v>0</v>
      </c>
      <c r="I4" s="7">
        <f>Receitas!I17</f>
        <v>0</v>
      </c>
      <c r="J4" s="7">
        <f>Receitas!J17</f>
        <v>0</v>
      </c>
      <c r="K4" s="7">
        <f>Receitas!K17</f>
        <v>0</v>
      </c>
      <c r="L4" s="7">
        <f>Receitas!L17</f>
        <v>0</v>
      </c>
      <c r="M4" s="7">
        <f t="shared" ref="M4:M7" si="1">SUM(B4:L4)</f>
        <v>1030</v>
      </c>
    </row>
    <row r="5">
      <c r="A5" s="12" t="s">
        <v>78</v>
      </c>
      <c r="B5" s="7" t="str">
        <f>Despesas!B27</f>
        <v/>
      </c>
      <c r="C5" s="7" t="str">
        <f>Despesas!C27</f>
        <v/>
      </c>
      <c r="D5" s="7" t="str">
        <f>Despesas!D27</f>
        <v/>
      </c>
      <c r="E5" s="7" t="str">
        <f>Despesas!E27</f>
        <v/>
      </c>
      <c r="F5" s="7" t="str">
        <f>Despesas!F27</f>
        <v/>
      </c>
      <c r="G5" s="7" t="str">
        <f>Despesas!G27</f>
        <v/>
      </c>
      <c r="H5" s="7" t="str">
        <f>Despesas!H27</f>
        <v/>
      </c>
      <c r="I5" s="7" t="str">
        <f>Despesas!I27</f>
        <v/>
      </c>
      <c r="J5" s="7" t="str">
        <f>Despesas!J27</f>
        <v/>
      </c>
      <c r="K5" s="7" t="str">
        <f>Despesas!K27</f>
        <v/>
      </c>
      <c r="L5" s="7" t="str">
        <f>Despesas!L27</f>
        <v/>
      </c>
      <c r="M5" s="7">
        <f t="shared" si="1"/>
        <v>0</v>
      </c>
    </row>
    <row r="6">
      <c r="A6" s="12" t="s">
        <v>79</v>
      </c>
      <c r="B6" s="7">
        <f>Impostos!B9</f>
        <v>720.55</v>
      </c>
      <c r="C6" s="7">
        <f>Impostos!C9</f>
        <v>0</v>
      </c>
      <c r="D6" s="7">
        <f>Impostos!D9</f>
        <v>0</v>
      </c>
      <c r="E6" s="7">
        <f>Impostos!E9</f>
        <v>0</v>
      </c>
      <c r="F6" s="7">
        <f>Impostos!F9</f>
        <v>0</v>
      </c>
      <c r="G6" s="7">
        <f>Impostos!G9</f>
        <v>0</v>
      </c>
      <c r="H6" s="7">
        <f>Impostos!H9</f>
        <v>0</v>
      </c>
      <c r="I6" s="7">
        <f>Impostos!I9</f>
        <v>0</v>
      </c>
      <c r="J6" s="7">
        <f>Impostos!J9</f>
        <v>0</v>
      </c>
      <c r="K6" s="7">
        <f>Impostos!K9</f>
        <v>0</v>
      </c>
      <c r="L6" s="7">
        <f>Impostos!L9</f>
        <v>0</v>
      </c>
      <c r="M6" s="7">
        <f t="shared" si="1"/>
        <v>720.55</v>
      </c>
    </row>
    <row r="7">
      <c r="A7" s="19" t="s">
        <v>80</v>
      </c>
      <c r="B7" s="7">
        <f>Profissionais!B16</f>
        <v>10726.71</v>
      </c>
      <c r="C7" s="7">
        <f>Profissionais!C16</f>
        <v>0</v>
      </c>
      <c r="D7" s="7">
        <f>Profissionais!D16</f>
        <v>0</v>
      </c>
      <c r="E7" s="7">
        <f>Profissionais!E16</f>
        <v>0</v>
      </c>
      <c r="F7" s="7">
        <f>Profissionais!F16</f>
        <v>0</v>
      </c>
      <c r="G7" s="7">
        <f>Profissionais!G16</f>
        <v>0</v>
      </c>
      <c r="H7" s="7">
        <f>Profissionais!H16</f>
        <v>0</v>
      </c>
      <c r="I7" s="7">
        <f>Profissionais!I16</f>
        <v>0</v>
      </c>
      <c r="J7" s="7">
        <f>Profissionais!J16</f>
        <v>0</v>
      </c>
      <c r="K7" s="7">
        <f>Profissionais!K16</f>
        <v>0</v>
      </c>
      <c r="L7" s="7">
        <f>Profissionais!L16</f>
        <v>0</v>
      </c>
      <c r="M7" s="7">
        <f t="shared" si="1"/>
        <v>10726.71</v>
      </c>
    </row>
    <row r="9">
      <c r="A9" s="16" t="s">
        <v>6</v>
      </c>
      <c r="B9" s="11">
        <f t="shared" ref="B9:L9" si="2">B4-B5-B6-B7</f>
        <v>-11007.26</v>
      </c>
      <c r="C9" s="11">
        <f t="shared" si="2"/>
        <v>590</v>
      </c>
      <c r="D9" s="11">
        <f t="shared" si="2"/>
        <v>0</v>
      </c>
      <c r="E9" s="11">
        <f t="shared" si="2"/>
        <v>0</v>
      </c>
      <c r="F9" s="11">
        <f t="shared" si="2"/>
        <v>0</v>
      </c>
      <c r="G9" s="11">
        <f t="shared" si="2"/>
        <v>0</v>
      </c>
      <c r="H9" s="11">
        <f t="shared" si="2"/>
        <v>0</v>
      </c>
      <c r="I9" s="11">
        <f t="shared" si="2"/>
        <v>0</v>
      </c>
      <c r="J9" s="11">
        <f t="shared" si="2"/>
        <v>0</v>
      </c>
      <c r="K9" s="11">
        <f t="shared" si="2"/>
        <v>0</v>
      </c>
      <c r="L9" s="11">
        <f t="shared" si="2"/>
        <v>0</v>
      </c>
      <c r="M9" s="11">
        <f>SUM(B9:L9)</f>
        <v>-10417.26</v>
      </c>
    </row>
    <row r="10">
      <c r="A10" s="16" t="s">
        <v>81</v>
      </c>
      <c r="B10" s="11">
        <f t="shared" ref="B10:M10" si="3">IF(B4=0,0,(B9/B4)*100)</f>
        <v>-2501.65</v>
      </c>
      <c r="C10" s="11">
        <f t="shared" si="3"/>
        <v>100</v>
      </c>
      <c r="D10" s="11">
        <f t="shared" si="3"/>
        <v>0</v>
      </c>
      <c r="E10" s="11">
        <f t="shared" si="3"/>
        <v>0</v>
      </c>
      <c r="F10" s="11">
        <f t="shared" si="3"/>
        <v>0</v>
      </c>
      <c r="G10" s="11">
        <f t="shared" si="3"/>
        <v>0</v>
      </c>
      <c r="H10" s="11">
        <f t="shared" si="3"/>
        <v>0</v>
      </c>
      <c r="I10" s="11">
        <f t="shared" si="3"/>
        <v>0</v>
      </c>
      <c r="J10" s="11">
        <f t="shared" si="3"/>
        <v>0</v>
      </c>
      <c r="K10" s="11">
        <f t="shared" si="3"/>
        <v>0</v>
      </c>
      <c r="L10" s="11">
        <f t="shared" si="3"/>
        <v>0</v>
      </c>
      <c r="M10" s="11">
        <f t="shared" si="3"/>
        <v>-1011.384466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2026-01-16T00:18:33Z</dcterms:created>
  <dc:creator>openpyxl</dc:creator>
</cp:coreProperties>
</file>